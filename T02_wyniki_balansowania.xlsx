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02 Wyniki i Ana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"/>
  </numFmts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1A365D"/>
      </top>
      <bottom style="double">
        <color rgb="001A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Czas balansowania w kolejnych próbach vs Cel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'T-02 Wyniki i Analiza'!C5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'T-02 Wyniki i Analiza'!$B$6:$B$10</f>
            </numRef>
          </cat>
          <val>
            <numRef>
              <f>'T-02 Wyniki i Analiza'!$C$6:$C$10</f>
            </numRef>
          </val>
        </ser>
        <ser>
          <idx val="1"/>
          <order val="1"/>
          <tx>
            <strRef>
              <f>'T-02 Wyniki i Analiza'!D5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'T-02 Wyniki i Analiza'!$B$6:$B$10</f>
            </numRef>
          </cat>
          <val>
            <numRef>
              <f>'T-02 Wyniki i Analiza'!$D$6:$D$10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'T-02 Wyniki i Analiza'!D5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'T-02 Wyniki i Analiza'!$D$6:$D$10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Próby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Czas [sekundy]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1" workbookViewId="0">
      <selection activeCell="A1" sqref="A1"/>
    </sheetView>
  </sheetViews>
  <sheetFormatPr baseColWidth="8" defaultRowHeight="15"/>
  <cols>
    <col width="15" customWidth="1" min="2" max="2"/>
    <col width="20" customWidth="1" min="3" max="3"/>
    <col width="25" customWidth="1" min="4" max="4"/>
    <col width="20" customWidth="1" min="5" max="5"/>
    <col width="18" customWidth="1" min="6" max="6"/>
  </cols>
  <sheetData>
    <row r="2">
      <c r="B2" s="1" t="inlineStr">
        <is>
          <t>Raport z testu T-02: Balans w pionie</t>
        </is>
      </c>
    </row>
    <row r="3">
      <c r="B3" s="2" t="inlineStr">
        <is>
          <t>Analiza czasu balansowania robota dwukołowego w 5 próbach w odniesieniu do kryterium sukcesu.</t>
        </is>
      </c>
    </row>
    <row r="5">
      <c r="B5" s="3" t="inlineStr">
        <is>
          <t>Numer próby</t>
        </is>
      </c>
      <c r="C5" s="3" t="inlineStr">
        <is>
          <t>Zmierzony czas [s]</t>
        </is>
      </c>
      <c r="D5" s="3" t="inlineStr">
        <is>
          <t>Wartość oczekiwana (Cel) [s]</t>
        </is>
      </c>
      <c r="E5" s="3" t="inlineStr">
        <is>
          <t>Odchylenie od celu [s]</t>
        </is>
      </c>
      <c r="F5" s="3" t="inlineStr">
        <is>
          <t>Status</t>
        </is>
      </c>
    </row>
    <row r="6">
      <c r="B6" s="4" t="inlineStr">
        <is>
          <t>Próba 1</t>
        </is>
      </c>
      <c r="C6" s="5" t="n">
        <v>58.4</v>
      </c>
      <c r="D6" s="5" t="n">
        <v>30</v>
      </c>
      <c r="E6" s="6">
        <f>C6-D6</f>
        <v/>
      </c>
      <c r="F6" s="4">
        <f>IF(C6&gt;=D6, "Pozytywny (P)", "Negatywny (F)")</f>
        <v/>
      </c>
    </row>
    <row r="7">
      <c r="B7" s="7" t="inlineStr">
        <is>
          <t>Próba 2</t>
        </is>
      </c>
      <c r="C7" s="8" t="n">
        <v>61.2</v>
      </c>
      <c r="D7" s="8" t="n">
        <v>30</v>
      </c>
      <c r="E7" s="9">
        <f>C7-D7</f>
        <v/>
      </c>
      <c r="F7" s="7">
        <f>IF(C7&gt;=D7, "Pozytywny (P)", "Negatywny (F)")</f>
        <v/>
      </c>
    </row>
    <row r="8">
      <c r="B8" s="4" t="inlineStr">
        <is>
          <t>Próba 3</t>
        </is>
      </c>
      <c r="C8" s="5" t="n">
        <v>59.5</v>
      </c>
      <c r="D8" s="5" t="n">
        <v>30</v>
      </c>
      <c r="E8" s="6">
        <f>C8-D8</f>
        <v/>
      </c>
      <c r="F8" s="4">
        <f>IF(C8&gt;=D8, "Pozytywny (P)", "Negatywny (F)")</f>
        <v/>
      </c>
    </row>
    <row r="9">
      <c r="B9" s="7" t="inlineStr">
        <is>
          <t>Próba 4</t>
        </is>
      </c>
      <c r="C9" s="8" t="n">
        <v>60.8</v>
      </c>
      <c r="D9" s="8" t="n">
        <v>30</v>
      </c>
      <c r="E9" s="9">
        <f>C9-D9</f>
        <v/>
      </c>
      <c r="F9" s="7">
        <f>IF(C9&gt;=D9, "Pozytywny (P)", "Negatywny (F)")</f>
        <v/>
      </c>
    </row>
    <row r="10">
      <c r="B10" s="4" t="inlineStr">
        <is>
          <t>Próba 5</t>
        </is>
      </c>
      <c r="C10" s="5" t="n">
        <v>62.1</v>
      </c>
      <c r="D10" s="5" t="n">
        <v>30</v>
      </c>
      <c r="E10" s="6">
        <f>C10-D10</f>
        <v/>
      </c>
      <c r="F10" s="4">
        <f>IF(C10&gt;=D10, "Pozytywny (P)", "Negatywny (F)")</f>
        <v/>
      </c>
    </row>
    <row r="11">
      <c r="B11" s="10" t="inlineStr">
        <is>
          <t>Średnia</t>
        </is>
      </c>
      <c r="C11" s="11">
        <f>AVERAGE(C6:C10)</f>
        <v/>
      </c>
      <c r="D11" s="11">
        <f>AVERAGE(D6:D10)</f>
        <v/>
      </c>
      <c r="E11" s="12" t="n"/>
      <c r="F11" s="1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2026-06-11T20:53:07Z</dcterms:created>
  <dcterms:modified xmlns:dcterms="http://purl.org/dc/terms/" xmlns:xsi="http://www.w3.org/2001/XMLSchema-instance" xsi:type="dcterms:W3CDTF">2026-06-11T20:53:07Z</dcterms:modified>
</cp:coreProperties>
</file>